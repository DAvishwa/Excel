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ad9e94326971db/Desktop/DA17vishwa/ExcelWork/"/>
    </mc:Choice>
  </mc:AlternateContent>
  <xr:revisionPtr revIDLastSave="0" documentId="8_{FCF37A1C-8276-49EE-BD8F-75B5A73B5932}" xr6:coauthVersionLast="47" xr6:coauthVersionMax="47" xr10:uidLastSave="{00000000-0000-0000-0000-000000000000}"/>
  <bookViews>
    <workbookView xWindow="-120" yWindow="-120" windowWidth="20730" windowHeight="11040" xr2:uid="{1A5BEC26-AB3B-49DF-B7B6-723FD2EF5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D31" i="1"/>
  <c r="D32" i="1"/>
  <c r="D29" i="1"/>
  <c r="L22" i="1"/>
  <c r="L23" i="1"/>
  <c r="L24" i="1"/>
  <c r="L21" i="1"/>
  <c r="H22" i="1"/>
  <c r="H23" i="1"/>
  <c r="H24" i="1"/>
  <c r="H21" i="1"/>
  <c r="D22" i="1"/>
  <c r="D23" i="1"/>
  <c r="D24" i="1"/>
  <c r="D21" i="1"/>
  <c r="N14" i="1"/>
  <c r="N15" i="1"/>
  <c r="N16" i="1"/>
  <c r="N13" i="1"/>
  <c r="I14" i="1"/>
  <c r="I15" i="1"/>
  <c r="I16" i="1"/>
  <c r="I13" i="1"/>
  <c r="D14" i="1"/>
  <c r="D15" i="1"/>
  <c r="D16" i="1"/>
  <c r="D13" i="1"/>
  <c r="N5" i="1"/>
  <c r="N6" i="1"/>
  <c r="N7" i="1"/>
  <c r="N8" i="1"/>
  <c r="N4" i="1"/>
  <c r="I5" i="1"/>
  <c r="I6" i="1"/>
  <c r="I7" i="1"/>
  <c r="I4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<sst xmlns="http://schemas.openxmlformats.org/spreadsheetml/2006/main" count="92" uniqueCount="55">
  <si>
    <t>TASK 1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</si>
  <si>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</si>
  <si>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</si>
  <si>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</si>
  <si>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</si>
  <si>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</si>
  <si>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</si>
  <si>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</si>
  <si>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</si>
  <si>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</si>
  <si>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TASK2</t>
  </si>
  <si>
    <t>Employee Name</t>
  </si>
  <si>
    <t>Salary</t>
  </si>
  <si>
    <t>Bonus Status</t>
  </si>
  <si>
    <t>Rohit</t>
  </si>
  <si>
    <t>Simran</t>
  </si>
  <si>
    <t>Vijay</t>
  </si>
  <si>
    <t>Nisha</t>
  </si>
  <si>
    <t>TASK 3</t>
  </si>
  <si>
    <t>Grade</t>
  </si>
  <si>
    <t>TASK4</t>
  </si>
  <si>
    <t>Name</t>
  </si>
  <si>
    <t>Age</t>
  </si>
  <si>
    <t>Experience (Years)</t>
  </si>
  <si>
    <t>Eligible</t>
  </si>
  <si>
    <t>TASK5</t>
  </si>
  <si>
    <t>Attendance %</t>
  </si>
  <si>
    <t>Assignment Submitted</t>
  </si>
  <si>
    <t>Yes</t>
  </si>
  <si>
    <t>No</t>
  </si>
  <si>
    <t>TASK 6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</si>
  <si>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</si>
  <si>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</si>
  <si>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</si>
  <si>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</si>
  <si>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</si>
  <si>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</si>
  <si>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</si>
  <si>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 7</t>
  </si>
  <si>
    <t>Applicant</t>
  </si>
  <si>
    <t>CIBIL Score</t>
  </si>
  <si>
    <t>Loan Status</t>
  </si>
  <si>
    <t>TASK 8</t>
  </si>
  <si>
    <t>Present</t>
  </si>
  <si>
    <t>Status</t>
  </si>
  <si>
    <t>TASK9</t>
  </si>
  <si>
    <t>Number 1</t>
  </si>
  <si>
    <t>Number 2</t>
  </si>
  <si>
    <t>TASK10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</si>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</sst>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15F0-B0E4-4FCF-9F3E-90F34D761B66}">
  <dimension ref="A1:N32"/>
  <sheetViews>
    <sheetView tabSelected="1" topLeftCell="A25" workbookViewId="0">
      <selection activeCell="D29" sqref="D29:D32"/>
    </sheetView>
  </sheetViews>
  <sheetFormatPr defaultRowHeight="15" x14ac:dyDescent="0.25"/>
  <cols>
    <col min="1" max="1" width="11.85546875" customWidth="1"/>
    <col min="3" max="3" width="17" customWidth="1"/>
    <col min="4" max="4" width="24.7109375" bestFit="1" customWidth="1"/>
    <col min="8" max="8" width="12.85546875" customWidth="1"/>
    <col min="9" max="9" width="16" customWidth="1"/>
    <col min="11" max="11" width="11.7109375" customWidth="1"/>
    <col min="12" max="12" width="11" bestFit="1" customWidth="1"/>
    <col min="13" max="13" width="11.7109375" customWidth="1"/>
    <col min="14" max="14" width="16.140625" customWidth="1"/>
  </cols>
  <sheetData>
    <row r="1" spans="1:14" x14ac:dyDescent="0.25">
      <c r="A1" t="s">
        <v>0</v>
      </c>
      <c r="G1" t="s">
        <v>10</v>
      </c>
      <c r="L1" t="s">
        <v>18</v>
      </c>
    </row>
    <row r="2" spans="1:14" ht="15.75" thickBot="1" x14ac:dyDescent="0.3"/>
    <row r="3" spans="1:14" ht="52.5" thickBot="1" x14ac:dyDescent="0.3">
      <c r="A3" s="1" t="s">
        <v>1</v>
      </c>
      <c r="B3" s="1" t="s">
        <v>2</v>
      </c>
      <c r="C3" s="1" t="s">
        <v>3</v>
      </c>
      <c r="D3" s="1" t="s">
        <v>4</v>
      </c>
      <c r="G3" s="1" t="s">
        <v>11</v>
      </c>
      <c r="H3" s="1" t="s">
        <v>12</v>
      </c>
      <c r="I3" s="1" t="s">
        <v>13</v>
      </c>
      <c r="L3" s="1" t="s">
        <v>2</v>
      </c>
      <c r="M3" s="1" t="s">
        <v>3</v>
      </c>
      <c r="N3" s="1" t="s">
        <v>19</v>
      </c>
    </row>
    <row r="4" spans="1:14" ht="18" thickBot="1" x14ac:dyDescent="0.3">
      <c r="A4" s="2">
        <v>1</v>
      </c>
      <c r="B4" s="2" t="s">
        <v>5</v>
      </c>
      <c r="C4" s="2">
        <v>78</v>
      </c>
      <c r="D4" s="2" t="str">
        <f>IF(C4&gt;=40,"PASS","FAIL")</f>
        <v>PASS</v>
      </c>
      <c r="G4" s="2" t="s">
        <v>14</v>
      </c>
      <c r="H4" s="2">
        <v>28000</v>
      </c>
      <c r="I4" s="2" t="str">
        <f>IF(H4&gt;=40000,"BONUS","NO BONUS")</f>
        <v>NO BONUS</v>
      </c>
      <c r="L4" s="2" t="s">
        <v>5</v>
      </c>
      <c r="M4" s="2">
        <v>82</v>
      </c>
      <c r="N4" s="2" t="str">
        <f>IF(M4&gt;=75,"A",IF(M4&gt;=60,"B",IF(M4&gt;=40,"C","FAIL")))</f>
        <v>A</v>
      </c>
    </row>
    <row r="5" spans="1:14" ht="35.25" thickBot="1" x14ac:dyDescent="0.3">
      <c r="A5" s="3">
        <v>2</v>
      </c>
      <c r="B5" s="3" t="s">
        <v>6</v>
      </c>
      <c r="C5" s="3">
        <v>35</v>
      </c>
      <c r="D5" s="2" t="str">
        <f t="shared" ref="D5:D8" si="0">IF(C5&gt;=40,"PASS","FAIL")</f>
        <v>FAIL</v>
      </c>
      <c r="G5" s="3" t="s">
        <v>15</v>
      </c>
      <c r="H5" s="3">
        <v>45000</v>
      </c>
      <c r="I5" s="2" t="str">
        <f t="shared" ref="I5:I7" si="1">IF(H5&gt;=40000,"BONUS","NO BONUS")</f>
        <v>BONUS</v>
      </c>
      <c r="L5" s="3" t="s">
        <v>6</v>
      </c>
      <c r="M5" s="3">
        <v>67</v>
      </c>
      <c r="N5" s="2" t="str">
        <f t="shared" ref="N5:N8" si="2">IF(M5&gt;=75,"A",IF(M5&gt;=60,"B",IF(M5&gt;=40,"C","FAIL")))</f>
        <v>B</v>
      </c>
    </row>
    <row r="6" spans="1:14" ht="18" thickBot="1" x14ac:dyDescent="0.3">
      <c r="A6" s="2">
        <v>3</v>
      </c>
      <c r="B6" s="2" t="s">
        <v>7</v>
      </c>
      <c r="C6" s="2">
        <v>62</v>
      </c>
      <c r="D6" s="2" t="str">
        <f t="shared" si="0"/>
        <v>PASS</v>
      </c>
      <c r="G6" s="2" t="s">
        <v>16</v>
      </c>
      <c r="H6" s="2">
        <v>52000</v>
      </c>
      <c r="I6" s="2" t="str">
        <f t="shared" si="1"/>
        <v>BONUS</v>
      </c>
      <c r="L6" s="2" t="s">
        <v>7</v>
      </c>
      <c r="M6" s="2">
        <v>45</v>
      </c>
      <c r="N6" s="2" t="str">
        <f t="shared" si="2"/>
        <v>C</v>
      </c>
    </row>
    <row r="7" spans="1:14" ht="18" thickBot="1" x14ac:dyDescent="0.3">
      <c r="A7" s="3">
        <v>4</v>
      </c>
      <c r="B7" s="3" t="s">
        <v>8</v>
      </c>
      <c r="C7" s="3">
        <v>40</v>
      </c>
      <c r="D7" s="2" t="str">
        <f t="shared" si="0"/>
        <v>PASS</v>
      </c>
      <c r="G7" s="3" t="s">
        <v>17</v>
      </c>
      <c r="H7" s="3">
        <v>30000</v>
      </c>
      <c r="I7" s="2" t="str">
        <f t="shared" si="1"/>
        <v>NO BONUS</v>
      </c>
      <c r="L7" s="3" t="s">
        <v>8</v>
      </c>
      <c r="M7" s="3">
        <v>33</v>
      </c>
      <c r="N7" s="2" t="str">
        <f t="shared" si="2"/>
        <v>FAIL</v>
      </c>
    </row>
    <row r="8" spans="1:14" ht="35.25" thickBot="1" x14ac:dyDescent="0.3">
      <c r="A8" s="2">
        <v>5</v>
      </c>
      <c r="B8" s="2" t="s">
        <v>9</v>
      </c>
      <c r="C8" s="2">
        <v>28</v>
      </c>
      <c r="D8" s="2" t="str">
        <f t="shared" si="0"/>
        <v>FAIL</v>
      </c>
      <c r="L8" s="2" t="s">
        <v>9</v>
      </c>
      <c r="M8" s="2">
        <v>90</v>
      </c>
      <c r="N8" s="2" t="str">
        <f t="shared" si="2"/>
        <v>A</v>
      </c>
    </row>
    <row r="10" spans="1:14" x14ac:dyDescent="0.25">
      <c r="A10" t="s">
        <v>20</v>
      </c>
      <c r="F10" t="s">
        <v>25</v>
      </c>
      <c r="K10" t="s">
        <v>30</v>
      </c>
    </row>
    <row r="11" spans="1:14" ht="15.75" thickBot="1" x14ac:dyDescent="0.3"/>
    <row r="12" spans="1:14" ht="69.75" thickBot="1" x14ac:dyDescent="0.3">
      <c r="A12" s="1" t="s">
        <v>21</v>
      </c>
      <c r="B12" s="1" t="s">
        <v>22</v>
      </c>
      <c r="C12" s="1" t="s">
        <v>23</v>
      </c>
      <c r="D12" s="1" t="s">
        <v>24</v>
      </c>
      <c r="F12" s="1" t="s">
        <v>2</v>
      </c>
      <c r="G12" s="1" t="s">
        <v>26</v>
      </c>
      <c r="H12" s="1" t="s">
        <v>27</v>
      </c>
      <c r="I12" s="1" t="s">
        <v>24</v>
      </c>
      <c r="K12" s="1" t="s">
        <v>31</v>
      </c>
      <c r="L12" s="1" t="s">
        <v>32</v>
      </c>
      <c r="M12" s="1" t="s">
        <v>33</v>
      </c>
      <c r="N12" s="1" t="s">
        <v>34</v>
      </c>
    </row>
    <row r="13" spans="1:14" ht="18" thickBot="1" x14ac:dyDescent="0.3">
      <c r="A13" s="2" t="s">
        <v>14</v>
      </c>
      <c r="B13" s="2">
        <v>25</v>
      </c>
      <c r="C13" s="2">
        <v>2</v>
      </c>
      <c r="D13" s="2" t="str">
        <f>IF(AND(B13&gt;=21,C13&gt;=1),"ELIGIBLE","NON ELIGIBLE")</f>
        <v>ELIGIBLE</v>
      </c>
      <c r="F13" s="2" t="s">
        <v>5</v>
      </c>
      <c r="G13" s="2">
        <v>85</v>
      </c>
      <c r="H13" s="2" t="s">
        <v>28</v>
      </c>
      <c r="I13" s="2" t="str">
        <f>IF(AND(G13&gt;=75,H13="Yes"),"yes","no")</f>
        <v>yes</v>
      </c>
      <c r="K13" s="2" t="s">
        <v>35</v>
      </c>
      <c r="L13" s="2">
        <v>9000</v>
      </c>
      <c r="M13" s="2" t="s">
        <v>29</v>
      </c>
      <c r="N13" s="2" t="str">
        <f>IF(OR(L13&gt;=10000,M13="Yes"),"YES","NO")</f>
        <v>NO</v>
      </c>
    </row>
    <row r="14" spans="1:14" ht="18" thickBot="1" x14ac:dyDescent="0.3">
      <c r="A14" s="3" t="s">
        <v>15</v>
      </c>
      <c r="B14" s="3">
        <v>20</v>
      </c>
      <c r="C14" s="3">
        <v>1</v>
      </c>
      <c r="D14" s="2" t="str">
        <f t="shared" ref="D14:D16" si="3">IF(AND(B14&gt;=21,C14&gt;=1),"ELIGIBLE","NON ELIGIBLE")</f>
        <v>NON ELIGIBLE</v>
      </c>
      <c r="F14" s="3" t="s">
        <v>6</v>
      </c>
      <c r="G14" s="3">
        <v>72</v>
      </c>
      <c r="H14" s="3" t="s">
        <v>28</v>
      </c>
      <c r="I14" s="2" t="str">
        <f t="shared" ref="I14:I16" si="4">IF(AND(G14&gt;=75,H14="Yes"),"yes","no")</f>
        <v>no</v>
      </c>
      <c r="K14" s="3" t="s">
        <v>36</v>
      </c>
      <c r="L14" s="3">
        <v>12000</v>
      </c>
      <c r="M14" s="3" t="s">
        <v>29</v>
      </c>
      <c r="N14" s="2" t="str">
        <f t="shared" ref="N14:N16" si="5">IF(OR(L14&gt;=10000,M14="Yes"),"YES","NO")</f>
        <v>YES</v>
      </c>
    </row>
    <row r="15" spans="1:14" ht="18" thickBot="1" x14ac:dyDescent="0.3">
      <c r="A15" s="2" t="s">
        <v>16</v>
      </c>
      <c r="B15" s="2">
        <v>30</v>
      </c>
      <c r="C15" s="2">
        <v>5</v>
      </c>
      <c r="D15" s="2" t="str">
        <f t="shared" si="3"/>
        <v>ELIGIBLE</v>
      </c>
      <c r="F15" s="2" t="s">
        <v>7</v>
      </c>
      <c r="G15" s="2">
        <v>90</v>
      </c>
      <c r="H15" s="2" t="s">
        <v>29</v>
      </c>
      <c r="I15" s="2" t="str">
        <f t="shared" si="4"/>
        <v>no</v>
      </c>
      <c r="K15" s="2" t="s">
        <v>7</v>
      </c>
      <c r="L15" s="2">
        <v>4000</v>
      </c>
      <c r="M15" s="2" t="s">
        <v>28</v>
      </c>
      <c r="N15" s="2" t="str">
        <f t="shared" si="5"/>
        <v>YES</v>
      </c>
    </row>
    <row r="16" spans="1:14" ht="18" thickBot="1" x14ac:dyDescent="0.3">
      <c r="A16" s="3" t="s">
        <v>17</v>
      </c>
      <c r="B16" s="3">
        <v>22</v>
      </c>
      <c r="C16" s="3">
        <v>0</v>
      </c>
      <c r="D16" s="2" t="str">
        <f t="shared" si="3"/>
        <v>NON ELIGIBLE</v>
      </c>
      <c r="F16" s="3" t="s">
        <v>8</v>
      </c>
      <c r="G16" s="3">
        <v>80</v>
      </c>
      <c r="H16" s="3" t="s">
        <v>28</v>
      </c>
      <c r="I16" s="2" t="str">
        <f t="shared" si="4"/>
        <v>yes</v>
      </c>
      <c r="K16" s="3" t="s">
        <v>37</v>
      </c>
      <c r="L16" s="3">
        <v>3000</v>
      </c>
      <c r="M16" s="3" t="s">
        <v>29</v>
      </c>
      <c r="N16" s="2" t="str">
        <f t="shared" si="5"/>
        <v>NO</v>
      </c>
    </row>
    <row r="18" spans="1:12" x14ac:dyDescent="0.25">
      <c r="A18" t="s">
        <v>38</v>
      </c>
      <c r="F18" t="s">
        <v>42</v>
      </c>
      <c r="J18" t="s">
        <v>45</v>
      </c>
    </row>
    <row r="19" spans="1:12" ht="15.75" thickBot="1" x14ac:dyDescent="0.3"/>
    <row r="20" spans="1:12" ht="35.25" thickBot="1" x14ac:dyDescent="0.3">
      <c r="A20" s="1" t="s">
        <v>39</v>
      </c>
      <c r="B20" s="1" t="s">
        <v>12</v>
      </c>
      <c r="C20" s="1" t="s">
        <v>40</v>
      </c>
      <c r="D20" s="1" t="s">
        <v>41</v>
      </c>
      <c r="F20" s="1" t="s">
        <v>21</v>
      </c>
      <c r="G20" s="1" t="s">
        <v>43</v>
      </c>
      <c r="H20" s="1" t="s">
        <v>44</v>
      </c>
      <c r="J20" s="1" t="s">
        <v>46</v>
      </c>
      <c r="K20" s="1" t="s">
        <v>47</v>
      </c>
      <c r="L20" s="1" t="s">
        <v>4</v>
      </c>
    </row>
    <row r="21" spans="1:12" ht="35.25" thickBot="1" x14ac:dyDescent="0.3">
      <c r="A21" s="2" t="s">
        <v>14</v>
      </c>
      <c r="B21" s="2">
        <v>35000</v>
      </c>
      <c r="C21" s="2">
        <v>720</v>
      </c>
      <c r="D21" s="2" t="str">
        <f>IF(OR(B21&gt;=40000,C21&gt;=700),"ELIGIBLE","NO ELIGIBLE")</f>
        <v>ELIGIBLE</v>
      </c>
      <c r="F21" s="2" t="s">
        <v>5</v>
      </c>
      <c r="G21" s="2" t="b">
        <v>1</v>
      </c>
      <c r="H21" s="2" t="str">
        <f>IF(NOT(G21),"ABSENCE","PRESENCE")</f>
        <v>PRESENCE</v>
      </c>
      <c r="J21" s="2">
        <v>10</v>
      </c>
      <c r="K21" s="2">
        <v>2</v>
      </c>
      <c r="L21" s="2">
        <f>IFERROR(J21/K21,"INVAILD")</f>
        <v>5</v>
      </c>
    </row>
    <row r="22" spans="1:12" ht="18" thickBot="1" x14ac:dyDescent="0.3">
      <c r="A22" s="3" t="s">
        <v>15</v>
      </c>
      <c r="B22" s="3">
        <v>25000</v>
      </c>
      <c r="C22" s="3">
        <v>680</v>
      </c>
      <c r="D22" s="2" t="str">
        <f t="shared" ref="D22:D24" si="6">IF(OR(B22&gt;=40000,C22&gt;=700),"ELIGIBLE","NO ELIGIBLE")</f>
        <v>NO ELIGIBLE</v>
      </c>
      <c r="F22" s="3" t="s">
        <v>6</v>
      </c>
      <c r="G22" s="3" t="b">
        <v>0</v>
      </c>
      <c r="H22" s="2" t="str">
        <f t="shared" ref="H22:H24" si="7">IF(NOT(G22),"ABSENCE","PRESENCE")</f>
        <v>ABSENCE</v>
      </c>
      <c r="J22" s="3">
        <v>15</v>
      </c>
      <c r="K22" s="3">
        <v>0</v>
      </c>
      <c r="L22" s="2" t="str">
        <f t="shared" ref="L22:L24" si="8">IFERROR(J22/K22,"INVAILD")</f>
        <v>INVAILD</v>
      </c>
    </row>
    <row r="23" spans="1:12" ht="35.25" thickBot="1" x14ac:dyDescent="0.3">
      <c r="A23" s="2" t="s">
        <v>16</v>
      </c>
      <c r="B23" s="2">
        <v>50000</v>
      </c>
      <c r="C23" s="2">
        <v>650</v>
      </c>
      <c r="D23" s="2" t="str">
        <f t="shared" si="6"/>
        <v>ELIGIBLE</v>
      </c>
      <c r="F23" s="2" t="s">
        <v>7</v>
      </c>
      <c r="G23" s="2" t="b">
        <v>1</v>
      </c>
      <c r="H23" s="2" t="str">
        <f t="shared" si="7"/>
        <v>PRESENCE</v>
      </c>
      <c r="J23" s="2">
        <v>20</v>
      </c>
      <c r="K23" s="2">
        <v>5</v>
      </c>
      <c r="L23" s="2">
        <f t="shared" si="8"/>
        <v>4</v>
      </c>
    </row>
    <row r="24" spans="1:12" ht="18" thickBot="1" x14ac:dyDescent="0.3">
      <c r="A24" s="3" t="s">
        <v>17</v>
      </c>
      <c r="B24" s="3">
        <v>20000</v>
      </c>
      <c r="C24" s="3">
        <v>600</v>
      </c>
      <c r="D24" s="2" t="str">
        <f t="shared" si="6"/>
        <v>NO ELIGIBLE</v>
      </c>
      <c r="F24" s="3" t="s">
        <v>8</v>
      </c>
      <c r="G24" s="3" t="b">
        <v>0</v>
      </c>
      <c r="H24" s="2" t="str">
        <f t="shared" si="7"/>
        <v>ABSENCE</v>
      </c>
      <c r="J24" s="3">
        <v>8</v>
      </c>
      <c r="K24" s="3">
        <v>0</v>
      </c>
      <c r="L24" s="2" t="str">
        <f t="shared" si="8"/>
        <v>INVAILD</v>
      </c>
    </row>
    <row r="26" spans="1:12" x14ac:dyDescent="0.25">
      <c r="A26" t="s">
        <v>48</v>
      </c>
    </row>
    <row r="27" spans="1:12" ht="15.75" thickBot="1" x14ac:dyDescent="0.3"/>
    <row r="28" spans="1:12" ht="69.75" thickBot="1" x14ac:dyDescent="0.3">
      <c r="A28" s="1" t="s">
        <v>11</v>
      </c>
      <c r="B28" s="1" t="s">
        <v>49</v>
      </c>
      <c r="C28" s="1" t="s">
        <v>26</v>
      </c>
      <c r="D28" s="1" t="s">
        <v>50</v>
      </c>
    </row>
    <row r="29" spans="1:12" ht="18" thickBot="1" x14ac:dyDescent="0.3">
      <c r="A29" s="2" t="s">
        <v>51</v>
      </c>
      <c r="B29" s="2">
        <v>45</v>
      </c>
      <c r="C29" s="2">
        <v>92</v>
      </c>
      <c r="D29" s="2" t="str">
        <f>IF(AND(C29&gt;=90,B29&gt;=40),"EXCELLENT",IF(C29&gt;=80,"GOOD","NEED IMPROVEMENT"))</f>
        <v>EXCELLENT</v>
      </c>
    </row>
    <row r="30" spans="1:12" ht="18" thickBot="1" x14ac:dyDescent="0.3">
      <c r="A30" s="3" t="s">
        <v>52</v>
      </c>
      <c r="B30" s="3">
        <v>38</v>
      </c>
      <c r="C30" s="3">
        <v>85</v>
      </c>
      <c r="D30" s="2" t="str">
        <f t="shared" ref="D30:D32" si="9">IF(AND(C30&gt;=90,B30&gt;=40),"EXCELLENT",IF(C30&gt;=80,"GOOD","NEED IMPROVEMENT"))</f>
        <v>GOOD</v>
      </c>
    </row>
    <row r="31" spans="1:12" ht="18" thickBot="1" x14ac:dyDescent="0.3">
      <c r="A31" s="2" t="s">
        <v>53</v>
      </c>
      <c r="B31" s="2">
        <v>50</v>
      </c>
      <c r="C31" s="2">
        <v>95</v>
      </c>
      <c r="D31" s="2" t="str">
        <f t="shared" si="9"/>
        <v>EXCELLENT</v>
      </c>
    </row>
    <row r="32" spans="1:12" ht="18" thickBot="1" x14ac:dyDescent="0.3">
      <c r="A32" s="3" t="s">
        <v>54</v>
      </c>
      <c r="B32" s="3">
        <v>30</v>
      </c>
      <c r="C32" s="3">
        <v>70</v>
      </c>
      <c r="D32" s="2" t="str">
        <f t="shared" si="9"/>
        <v>NEED IMPROVEMENT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Bhagnani</dc:creator>
  <cp:lastModifiedBy>Ansh Bhagnani</cp:lastModifiedBy>
  <dcterms:created xsi:type="dcterms:W3CDTF">2026-06-24T11:16:17Z</dcterms:created>
  <dcterms:modified xsi:type="dcterms:W3CDTF">2026-06-24T11:57:43Z</dcterms:modified>
</cp:coreProperties>
</file>