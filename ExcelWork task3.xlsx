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ad9e94326971db/Desktop/DA17vishwa/ExcelWork/"/>
    </mc:Choice>
  </mc:AlternateContent>
  <xr:revisionPtr revIDLastSave="0" documentId="8_{00CE8F6F-A2CB-4655-BEC3-A05FEE48008C}" xr6:coauthVersionLast="47" xr6:coauthVersionMax="47" xr10:uidLastSave="{00000000-0000-0000-0000-000000000000}"/>
  <bookViews>
    <workbookView xWindow="-120" yWindow="-120" windowWidth="20730" windowHeight="11040" xr2:uid="{CE570534-76DC-4C5D-B51A-26AC498B6FEC}"/>
  </bookViews>
  <sheets>
    <sheet name="TASK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  <c r="O24" i="1"/>
  <c r="L24" i="1"/>
  <c r="I24" i="1"/>
  <c r="E24" i="1"/>
  <c r="F24" i="1" s="1"/>
  <c r="D24" i="1"/>
  <c r="C24" i="1"/>
  <c r="L20" i="1"/>
  <c r="I20" i="1"/>
  <c r="F20" i="1"/>
  <c r="C20" i="1"/>
  <c r="L14" i="1"/>
  <c r="I14" i="1"/>
  <c r="C14" i="1"/>
</calcChain>
</file>

<file path=xl/sharedStrings.xml><?xml version="1.0" encoding="utf-8"?>
<sst xmlns="http://schemas.openxmlformats.org/spreadsheetml/2006/main" count="112" uniqueCount="60">
  <si>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</si>
  <si>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</si>
  <si>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</si>
  <si>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</si>
  <si>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</si>
  <si>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</si>
  <si>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</si>
  <si>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</si>
  <si>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</si>
  <si>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</si>
  <si>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</si>
  <si>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</si>
  <si>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</si>
  <si>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</si>
  <si>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</si>
  <si>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</si>
  <si>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</si>
  <si>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</si>
  <si>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</si>
  <si>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</si>
  <si>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</si>
  <si>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</si>
  <si>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</si>
  <si>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</si>
  <si>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</si>
  <si>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</si>
  <si>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</si>
  <si>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</si>
  <si>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</si>
  <si>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</si>
  <si>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</si>
  <si>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</si>
  <si>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</si>
  <si>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</si>
  <si>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 xml:space="preserve">TASK1 </t>
  </si>
  <si>
    <t>TASK2</t>
  </si>
  <si>
    <t>Employee ID</t>
  </si>
  <si>
    <t>Department of Employee</t>
  </si>
  <si>
    <t>TASK3</t>
  </si>
  <si>
    <t xml:space="preserve">salary </t>
  </si>
  <si>
    <t>TASK4</t>
  </si>
  <si>
    <t>TASK5</t>
  </si>
  <si>
    <t>Found or NOT</t>
  </si>
  <si>
    <t>E109</t>
  </si>
  <si>
    <t>TASK 6</t>
  </si>
  <si>
    <t>Joining Year</t>
  </si>
  <si>
    <t>TASK7</t>
  </si>
  <si>
    <t>TASK8</t>
  </si>
  <si>
    <t>TASK9</t>
  </si>
  <si>
    <t>Bonus Amount</t>
  </si>
  <si>
    <t>TASK10</t>
  </si>
  <si>
    <t>Taxing</t>
  </si>
  <si>
    <t>TASK11</t>
  </si>
  <si>
    <t>TASK12</t>
  </si>
  <si>
    <t>Employee Name</t>
  </si>
  <si>
    <t>TASK13</t>
  </si>
  <si>
    <t>TASK14</t>
  </si>
  <si>
    <t>Not found or found</t>
  </si>
  <si>
    <t>E999</t>
  </si>
  <si>
    <t>TASK15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</si>
</sst>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0" borderId="2" xfId="0" applyBorder="1"/>
    <xf numFmtId="0" fontId="0" fillId="0" borderId="0" xfId="0" applyBorder="1"/>
    <xf numFmtId="0" fontId="0" fillId="0" borderId="1" xfId="0" applyFill="1" applyBorder="1"/>
    <xf numFmtId="9" fontId="0" fillId="0" borderId="1" xfId="1" applyFont="1" applyBorder="1"/>
    <xf numFmtId="0" fontId="0" fillId="0" borderId="3" xfId="0" applyBorder="1"/>
    <xf numFmtId="0" fontId="0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FE40-3F2A-4454-8AD1-3D62E3B5A36B}">
  <dimension ref="A1:O31"/>
  <sheetViews>
    <sheetView tabSelected="1" workbookViewId="0">
      <selection activeCell="G10" sqref="G10"/>
    </sheetView>
  </sheetViews>
  <sheetFormatPr defaultRowHeight="15" x14ac:dyDescent="0.25"/>
  <cols>
    <col min="1" max="1" width="10.5703125" customWidth="1"/>
    <col min="2" max="2" width="15.7109375" bestFit="1" customWidth="1"/>
    <col min="3" max="3" width="13.28515625" bestFit="1" customWidth="1"/>
    <col min="4" max="4" width="11.28515625" customWidth="1"/>
    <col min="5" max="5" width="12.140625" bestFit="1" customWidth="1"/>
    <col min="6" max="6" width="23.7109375" bestFit="1" customWidth="1"/>
    <col min="7" max="7" width="11.5703125" bestFit="1" customWidth="1"/>
    <col min="8" max="8" width="14.85546875" customWidth="1"/>
    <col min="9" max="9" width="17" customWidth="1"/>
    <col min="10" max="10" width="13.5703125" customWidth="1"/>
    <col min="11" max="11" width="12.140625" bestFit="1" customWidth="1"/>
    <col min="12" max="12" width="14.5703125" customWidth="1"/>
    <col min="13" max="14" width="15.7109375" bestFit="1" customWidth="1"/>
    <col min="15" max="15" width="11.7109375" bestFit="1" customWidth="1"/>
    <col min="16" max="16" width="8.42578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/>
    </row>
    <row r="2" spans="1:14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45000</v>
      </c>
      <c r="F2" s="1">
        <v>2019</v>
      </c>
    </row>
    <row r="3" spans="1:14" x14ac:dyDescent="0.25">
      <c r="A3" s="1" t="s">
        <v>10</v>
      </c>
      <c r="B3" s="1" t="s">
        <v>11</v>
      </c>
      <c r="C3" s="1" t="s">
        <v>12</v>
      </c>
      <c r="D3" s="1" t="s">
        <v>13</v>
      </c>
      <c r="E3" s="1">
        <v>52000</v>
      </c>
      <c r="F3" s="1">
        <v>2018</v>
      </c>
    </row>
    <row r="4" spans="1:14" x14ac:dyDescent="0.25">
      <c r="A4" s="1" t="s">
        <v>14</v>
      </c>
      <c r="B4" s="1" t="s">
        <v>15</v>
      </c>
      <c r="C4" s="1" t="s">
        <v>16</v>
      </c>
      <c r="D4" s="1" t="s">
        <v>17</v>
      </c>
      <c r="E4" s="1">
        <v>65000</v>
      </c>
      <c r="F4" s="1">
        <v>2020</v>
      </c>
      <c r="H4" s="1" t="s">
        <v>2</v>
      </c>
      <c r="I4" s="1" t="s">
        <v>8</v>
      </c>
      <c r="J4" s="1" t="s">
        <v>12</v>
      </c>
      <c r="K4" s="1" t="s">
        <v>16</v>
      </c>
      <c r="L4" s="1" t="s">
        <v>20</v>
      </c>
      <c r="M4" s="1" t="s">
        <v>24</v>
      </c>
      <c r="N4" s="1"/>
    </row>
    <row r="5" spans="1:14" x14ac:dyDescent="0.25">
      <c r="A5" s="1" t="s">
        <v>18</v>
      </c>
      <c r="B5" s="1" t="s">
        <v>19</v>
      </c>
      <c r="C5" s="1" t="s">
        <v>20</v>
      </c>
      <c r="D5" s="1" t="s">
        <v>21</v>
      </c>
      <c r="E5" s="1">
        <v>58000</v>
      </c>
      <c r="F5" s="1">
        <v>2017</v>
      </c>
      <c r="H5" s="1" t="s">
        <v>33</v>
      </c>
      <c r="I5" s="1">
        <v>0.1</v>
      </c>
      <c r="J5" s="1">
        <v>0.08</v>
      </c>
      <c r="K5" s="1">
        <v>0.12</v>
      </c>
      <c r="L5" s="1">
        <v>0.15</v>
      </c>
      <c r="M5" s="1">
        <v>0.09</v>
      </c>
      <c r="N5" s="1"/>
    </row>
    <row r="6" spans="1:14" x14ac:dyDescent="0.25">
      <c r="A6" s="1" t="s">
        <v>22</v>
      </c>
      <c r="B6" s="1" t="s">
        <v>23</v>
      </c>
      <c r="C6" s="1" t="s">
        <v>24</v>
      </c>
      <c r="D6" s="1" t="s">
        <v>9</v>
      </c>
      <c r="E6" s="1">
        <v>48000</v>
      </c>
      <c r="F6" s="1">
        <v>2021</v>
      </c>
    </row>
    <row r="7" spans="1:14" x14ac:dyDescent="0.25">
      <c r="A7" s="1" t="s">
        <v>25</v>
      </c>
      <c r="B7" s="1" t="s">
        <v>26</v>
      </c>
      <c r="C7" s="1" t="s">
        <v>16</v>
      </c>
      <c r="D7" s="1" t="s">
        <v>27</v>
      </c>
      <c r="E7" s="1">
        <v>62000</v>
      </c>
      <c r="F7" s="1">
        <v>2019</v>
      </c>
      <c r="H7" s="4"/>
      <c r="I7" s="1" t="s">
        <v>0</v>
      </c>
      <c r="J7" s="1" t="s">
        <v>1</v>
      </c>
    </row>
    <row r="8" spans="1:14" x14ac:dyDescent="0.25">
      <c r="A8" s="1" t="s">
        <v>28</v>
      </c>
      <c r="B8" s="1" t="s">
        <v>29</v>
      </c>
      <c r="C8" s="1" t="s">
        <v>8</v>
      </c>
      <c r="D8" s="1" t="s">
        <v>30</v>
      </c>
      <c r="E8" s="1">
        <v>47000</v>
      </c>
      <c r="F8" s="1">
        <v>2020</v>
      </c>
      <c r="H8" s="4"/>
      <c r="I8" s="1" t="s">
        <v>18</v>
      </c>
      <c r="J8" s="1" t="s">
        <v>15</v>
      </c>
    </row>
    <row r="9" spans="1:14" x14ac:dyDescent="0.25">
      <c r="A9" s="1" t="s">
        <v>31</v>
      </c>
      <c r="B9" s="1" t="s">
        <v>32</v>
      </c>
      <c r="C9" s="1" t="s">
        <v>12</v>
      </c>
      <c r="D9" s="1" t="s">
        <v>17</v>
      </c>
      <c r="E9" s="1">
        <v>54000</v>
      </c>
      <c r="F9" s="1">
        <v>2016</v>
      </c>
    </row>
    <row r="12" spans="1:14" x14ac:dyDescent="0.25">
      <c r="B12" t="s">
        <v>34</v>
      </c>
      <c r="E12" t="s">
        <v>35</v>
      </c>
      <c r="H12" t="s">
        <v>38</v>
      </c>
      <c r="K12" t="s">
        <v>40</v>
      </c>
    </row>
    <row r="13" spans="1:14" x14ac:dyDescent="0.25">
      <c r="B13" s="1" t="s">
        <v>0</v>
      </c>
      <c r="C13" s="1" t="s">
        <v>1</v>
      </c>
      <c r="E13" s="1" t="s">
        <v>36</v>
      </c>
      <c r="F13" s="1" t="s">
        <v>37</v>
      </c>
      <c r="G13" s="4"/>
      <c r="H13" s="1" t="s">
        <v>1</v>
      </c>
      <c r="I13" s="1" t="s">
        <v>39</v>
      </c>
      <c r="J13" s="4"/>
      <c r="K13" s="1" t="s">
        <v>36</v>
      </c>
      <c r="L13" s="1" t="s">
        <v>3</v>
      </c>
    </row>
    <row r="14" spans="1:14" x14ac:dyDescent="0.25">
      <c r="B14" s="1" t="s">
        <v>18</v>
      </c>
      <c r="C14" t="str">
        <f>VLOOKUP(B14,A1:F9,2,0)</f>
        <v>Neha Singh</v>
      </c>
      <c r="E14" s="1" t="s">
        <v>14</v>
      </c>
      <c r="F14" s="1" t="s">
        <v>16</v>
      </c>
      <c r="H14" s="1" t="s">
        <v>19</v>
      </c>
      <c r="I14" s="1">
        <f>VLOOKUP(H14,B1:F9,4,0)</f>
        <v>58000</v>
      </c>
      <c r="J14" s="4"/>
      <c r="K14" s="1" t="s">
        <v>14</v>
      </c>
      <c r="L14" s="1" t="str">
        <f>VLOOKUP(K14,A1:F9,4,0)</f>
        <v>Bangalore</v>
      </c>
    </row>
    <row r="18" spans="2:15" x14ac:dyDescent="0.25">
      <c r="B18" t="s">
        <v>41</v>
      </c>
      <c r="D18" s="4"/>
      <c r="E18" t="s">
        <v>44</v>
      </c>
      <c r="H18" t="s">
        <v>46</v>
      </c>
      <c r="K18" t="s">
        <v>47</v>
      </c>
    </row>
    <row r="19" spans="2:15" x14ac:dyDescent="0.25">
      <c r="B19" s="1" t="s">
        <v>36</v>
      </c>
      <c r="C19" s="1" t="s">
        <v>42</v>
      </c>
      <c r="E19" s="1" t="s">
        <v>36</v>
      </c>
      <c r="F19" s="1" t="s">
        <v>45</v>
      </c>
      <c r="H19" s="1" t="s">
        <v>2</v>
      </c>
      <c r="I19" s="1" t="s">
        <v>39</v>
      </c>
      <c r="K19" s="1" t="s">
        <v>2</v>
      </c>
      <c r="L19" s="1" t="s">
        <v>33</v>
      </c>
      <c r="M19" s="4"/>
      <c r="N19" s="4"/>
      <c r="O19" s="4"/>
    </row>
    <row r="20" spans="2:15" x14ac:dyDescent="0.25">
      <c r="B20" s="1" t="s">
        <v>43</v>
      </c>
      <c r="C20" s="1" t="str">
        <f>IFERROR(VLOOKUP(B20,A1:F9,1,0),"Not found")</f>
        <v>Not found</v>
      </c>
      <c r="D20" s="4"/>
      <c r="E20" s="1" t="s">
        <v>6</v>
      </c>
      <c r="F20" s="1">
        <f>VLOOKUP(E20,A1:F9,6,0)</f>
        <v>2019</v>
      </c>
      <c r="H20" s="1" t="s">
        <v>16</v>
      </c>
      <c r="I20" s="1">
        <f>HLOOKUP(H20,H4:N5,2,0)</f>
        <v>0.12</v>
      </c>
      <c r="K20" s="1" t="s">
        <v>20</v>
      </c>
      <c r="L20" s="1">
        <f>HLOOKUP(K20,H4:N5,2,0)</f>
        <v>0.15</v>
      </c>
    </row>
    <row r="22" spans="2:15" x14ac:dyDescent="0.25">
      <c r="B22" t="s">
        <v>48</v>
      </c>
      <c r="H22" t="s">
        <v>50</v>
      </c>
      <c r="K22" t="s">
        <v>52</v>
      </c>
      <c r="N22" t="s">
        <v>53</v>
      </c>
    </row>
    <row r="23" spans="2:15" x14ac:dyDescent="0.25">
      <c r="B23" s="1" t="s">
        <v>0</v>
      </c>
      <c r="C23" s="1" t="s">
        <v>2</v>
      </c>
      <c r="D23" s="1" t="s">
        <v>39</v>
      </c>
      <c r="E23" s="1" t="s">
        <v>33</v>
      </c>
      <c r="F23" s="5" t="s">
        <v>49</v>
      </c>
      <c r="H23" s="7" t="s">
        <v>2</v>
      </c>
      <c r="I23" s="1"/>
      <c r="K23" s="1" t="s">
        <v>36</v>
      </c>
      <c r="L23" s="1" t="s">
        <v>39</v>
      </c>
      <c r="N23" s="1" t="s">
        <v>54</v>
      </c>
      <c r="O23" s="1" t="s">
        <v>2</v>
      </c>
    </row>
    <row r="24" spans="2:15" x14ac:dyDescent="0.25">
      <c r="B24" s="5" t="s">
        <v>18</v>
      </c>
      <c r="C24" s="1" t="str">
        <f>VLOOKUP(B24,A1:F9,3,0)</f>
        <v>Finance</v>
      </c>
      <c r="D24" s="1">
        <f>VLOOKUP(B24,A1:F9,5,0)</f>
        <v>58000</v>
      </c>
      <c r="E24" s="6">
        <f>HLOOKUP(C24,H4:N5,2,0)</f>
        <v>0.15</v>
      </c>
      <c r="F24" s="1">
        <f>D24*E24</f>
        <v>8700</v>
      </c>
      <c r="H24" s="5" t="s">
        <v>51</v>
      </c>
      <c r="I24" s="1" t="str">
        <f>IFERROR(HLOOKUP(H24,H4:M5,1,0),"NO FOUND")</f>
        <v>NO FOUND</v>
      </c>
      <c r="K24" s="1" t="s">
        <v>6</v>
      </c>
      <c r="L24" s="1">
        <f>_xlfn.XLOOKUP(K24,A1:A9,E1:E9)</f>
        <v>45000</v>
      </c>
      <c r="N24" s="1" t="s">
        <v>19</v>
      </c>
      <c r="O24" s="1" t="str">
        <f>_xlfn.XLOOKUP(N24,B1:B9,C1:C9)</f>
        <v>Finance</v>
      </c>
    </row>
    <row r="27" spans="2:15" x14ac:dyDescent="0.25">
      <c r="B27" t="s">
        <v>55</v>
      </c>
      <c r="E27" t="s">
        <v>56</v>
      </c>
      <c r="H27" t="s">
        <v>59</v>
      </c>
    </row>
    <row r="28" spans="2:15" x14ac:dyDescent="0.25">
      <c r="B28" s="3" t="s">
        <v>54</v>
      </c>
      <c r="C28" s="1" t="s">
        <v>3</v>
      </c>
      <c r="E28" s="7" t="s">
        <v>0</v>
      </c>
      <c r="F28" s="5" t="s">
        <v>57</v>
      </c>
      <c r="H28" s="1" t="s">
        <v>2</v>
      </c>
      <c r="I28" s="1" t="s">
        <v>33</v>
      </c>
    </row>
    <row r="29" spans="2:15" x14ac:dyDescent="0.25">
      <c r="B29" s="3" t="s">
        <v>15</v>
      </c>
      <c r="C29" s="1" t="str">
        <f>_xlfn.XLOOKUP(B29,B1:B9,D1:D9)</f>
        <v>Bangalore</v>
      </c>
      <c r="E29" s="1" t="s">
        <v>58</v>
      </c>
      <c r="F29" s="1" t="str">
        <f>_xlfn.XLOOKUP(E29,A1:A9,A1:A9,"EMPLOYEE NOT FOUND")</f>
        <v>EMPLOYEE NOT FOUND</v>
      </c>
      <c r="H29" s="5" t="s">
        <v>12</v>
      </c>
      <c r="I29" s="1">
        <f>_xlfn.XLOOKUP(H29,H4:N4,H5:N5)</f>
        <v>0.08</v>
      </c>
    </row>
    <row r="30" spans="2:15" x14ac:dyDescent="0.25">
      <c r="C30" s="4"/>
    </row>
    <row r="31" spans="2:15" x14ac:dyDescent="0.25">
      <c r="J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Bhagnani</dc:creator>
  <cp:lastModifiedBy>Ansh Bhagnani</cp:lastModifiedBy>
  <dcterms:created xsi:type="dcterms:W3CDTF">2026-06-29T08:44:31Z</dcterms:created>
  <dcterms:modified xsi:type="dcterms:W3CDTF">2026-06-29T11:52:14Z</dcterms:modified>
</cp:coreProperties>
</file>